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jahn\GitHubProjects\Data-Analyst\"/>
    </mc:Choice>
  </mc:AlternateContent>
  <xr:revisionPtr revIDLastSave="0" documentId="8_{48ECB687-F825-446C-A200-62360C3B9376}" xr6:coauthVersionLast="47" xr6:coauthVersionMax="47" xr10:uidLastSave="{00000000-0000-0000-0000-000000000000}"/>
  <bookViews>
    <workbookView xWindow="-108" yWindow="-108" windowWidth="23256" windowHeight="12456" xr2:uid="{CCBF6FE0-6AB8-46D0-8CA5-CD780693DA7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1" l="1"/>
  <c r="I35" i="1"/>
  <c r="G18" i="1"/>
  <c r="E28" i="1"/>
  <c r="E27" i="1"/>
  <c r="F9" i="1"/>
  <c r="G17" i="1"/>
  <c r="G19" i="1"/>
  <c r="G20" i="1"/>
  <c r="G21" i="1"/>
  <c r="G22" i="1"/>
  <c r="G23" i="1"/>
  <c r="G24" i="1"/>
  <c r="G25" i="1"/>
  <c r="G26" i="1"/>
  <c r="F27" i="1"/>
  <c r="D18" i="1"/>
  <c r="F10" i="1" s="1"/>
  <c r="D19" i="1"/>
  <c r="F11" i="1" s="1"/>
  <c r="D20" i="1"/>
  <c r="D21" i="1"/>
  <c r="D22" i="1"/>
  <c r="D23" i="1"/>
  <c r="D24" i="1"/>
  <c r="D25" i="1"/>
  <c r="D26" i="1"/>
  <c r="D17" i="1"/>
  <c r="L36" i="1" l="1"/>
  <c r="I37" i="1"/>
  <c r="I36" i="1"/>
  <c r="O35" i="1" s="1"/>
  <c r="D27" i="1"/>
  <c r="D28" i="1"/>
  <c r="P35" i="1" l="1"/>
  <c r="O36" i="1"/>
  <c r="P36" i="1" s="1" a="1"/>
  <c r="P3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<sst xmlns="http://schemas.openxmlformats.org/spreadsheetml/2006/main" count="107" uniqueCount="50">
  <si>
    <t>Name</t>
  </si>
  <si>
    <t>Region</t>
  </si>
  <si>
    <t>Product</t>
  </si>
  <si>
    <t>Sales</t>
  </si>
  <si>
    <t>Quantity</t>
  </si>
  <si>
    <t>Amit</t>
  </si>
  <si>
    <t>South</t>
  </si>
  <si>
    <t>Tyre</t>
  </si>
  <si>
    <t>Ravi</t>
  </si>
  <si>
    <t>North</t>
  </si>
  <si>
    <t>Battery</t>
  </si>
  <si>
    <t>Sneha</t>
  </si>
  <si>
    <t>East</t>
  </si>
  <si>
    <t>Oil</t>
  </si>
  <si>
    <t>Kiran</t>
  </si>
  <si>
    <t>West</t>
  </si>
  <si>
    <t>Anu</t>
  </si>
  <si>
    <t>Vijay</t>
  </si>
  <si>
    <t>Priya</t>
  </si>
  <si>
    <t>Arjun</t>
  </si>
  <si>
    <t>Meena</t>
  </si>
  <si>
    <t>Rahul</t>
  </si>
  <si>
    <t>amount</t>
  </si>
  <si>
    <t>Total</t>
  </si>
  <si>
    <t>Average sales</t>
  </si>
  <si>
    <t>VLOOKUP</t>
  </si>
  <si>
    <t>PERFORMANCE</t>
  </si>
  <si>
    <t>product</t>
  </si>
  <si>
    <t>totals</t>
  </si>
  <si>
    <t>SUM,AVERAGE,IF</t>
  </si>
  <si>
    <t>SUMIF</t>
  </si>
  <si>
    <t>HIGH</t>
  </si>
  <si>
    <t>LOW</t>
  </si>
  <si>
    <t>COUNTIF</t>
  </si>
  <si>
    <t>MINIMUM SALES</t>
  </si>
  <si>
    <t>MAXIMUM SALES</t>
  </si>
  <si>
    <t>COUNT</t>
  </si>
  <si>
    <t>SALES</t>
  </si>
  <si>
    <t>TOTALS</t>
  </si>
  <si>
    <t>PRODUCT</t>
  </si>
  <si>
    <t>MIN,MAX,XLOOKUP</t>
  </si>
  <si>
    <t>VLOOKUP(E9,Sheet1!$C$17:$F$26,2,FALSE)</t>
  </si>
  <si>
    <t>SUM(E17:E26)</t>
  </si>
  <si>
    <t>AVERAGE(D17:D26)</t>
  </si>
  <si>
    <t>IF(DATA!$E18&gt;=9000,"HIGH","LOW")</t>
  </si>
  <si>
    <t>SUMIF(C17:E26,C17,E17:E26)</t>
  </si>
  <si>
    <t>COUNTIF(G17:G26,G17)</t>
  </si>
  <si>
    <t>MIN(I35:I37)</t>
  </si>
  <si>
    <t>MAX(I35:I37)</t>
  </si>
  <si>
    <t>XLOOKUP(O35,$G$35:$G$37,H35:H37)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</si>
</sst>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double">
        <color theme="1"/>
      </top>
      <bottom style="thin">
        <color theme="1"/>
      </bottom>
      <diagonal/>
    </border>
    <border>
      <left/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theme="1"/>
      </left>
      <right/>
      <top style="double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1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3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4" borderId="0" xfId="0" applyFill="1" applyAlignment="1">
      <alignment horizontal="center" vertical="center"/>
    </xf>
    <xf numFmtId="0" fontId="2" fillId="0" borderId="14" xfId="0" applyFont="1" applyBorder="1"/>
    <xf numFmtId="0" fontId="0" fillId="0" borderId="0" xfId="0" applyBorder="1" applyAlignment="1">
      <alignment horizontal="center" vertical="center"/>
    </xf>
    <xf numFmtId="0" fontId="0" fillId="0" borderId="0" xfId="0" applyAlignment="1"/>
    <xf numFmtId="0" fontId="0" fillId="4" borderId="0" xfId="0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0" fillId="3" borderId="17" xfId="0" applyFont="1" applyFill="1" applyBorder="1"/>
    <xf numFmtId="0" fontId="0" fillId="3" borderId="18" xfId="0" applyFont="1" applyFill="1" applyBorder="1"/>
    <xf numFmtId="0" fontId="0" fillId="0" borderId="17" xfId="0" applyFont="1" applyBorder="1"/>
    <xf numFmtId="0" fontId="0" fillId="0" borderId="18" xfId="0" applyFont="1" applyBorder="1"/>
    <xf numFmtId="0" fontId="1" fillId="2" borderId="7" xfId="0" applyFont="1" applyFill="1" applyBorder="1"/>
    <xf numFmtId="0" fontId="0" fillId="3" borderId="7" xfId="0" applyFont="1" applyFill="1" applyBorder="1"/>
    <xf numFmtId="0" fontId="0" fillId="0" borderId="7" xfId="0" applyFont="1" applyBorder="1"/>
    <xf numFmtId="0" fontId="1" fillId="2" borderId="18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horizontal="left" vertical="top"/>
    </xf>
    <xf numFmtId="1" fontId="0" fillId="0" borderId="7" xfId="0" applyNumberFormat="1" applyFont="1" applyBorder="1"/>
    <xf numFmtId="0" fontId="0" fillId="0" borderId="18" xfId="0" applyFont="1" applyBorder="1" applyAlignment="1">
      <alignment horizontal="left" vertical="top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1"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33E4-18CA-42EC-83AE-40DBDA64CB6E}">
  <dimension ref="A8:Z40"/>
  <sheetViews>
    <sheetView tabSelected="1" topLeftCell="A7" zoomScale="81" workbookViewId="0">
      <selection activeCell="T32" sqref="T32"/>
    </sheetView>
  </sheetViews>
  <sheetFormatPr defaultRowHeight="14.4" x14ac:dyDescent="0.3"/>
  <cols>
    <col min="1" max="1" width="12" bestFit="1" customWidth="1"/>
    <col min="3" max="4" width="9.5546875" customWidth="1"/>
    <col min="6" max="6" width="10.21875" customWidth="1"/>
    <col min="7" max="7" width="19.5546875" bestFit="1" customWidth="1"/>
    <col min="8" max="9" width="9.5546875" customWidth="1"/>
    <col min="11" max="12" width="10.44140625" customWidth="1"/>
    <col min="14" max="14" width="15.44140625" bestFit="1" customWidth="1"/>
    <col min="15" max="16" width="10.44140625" customWidth="1"/>
    <col min="26" max="26" width="14.6640625" bestFit="1" customWidth="1"/>
  </cols>
  <sheetData>
    <row r="8" spans="1:26" x14ac:dyDescent="0.3">
      <c r="E8" s="26" t="s">
        <v>2</v>
      </c>
      <c r="F8" s="27" t="s">
        <v>22</v>
      </c>
    </row>
    <row r="9" spans="1:26" x14ac:dyDescent="0.3">
      <c r="E9" s="28" t="s">
        <v>7</v>
      </c>
      <c r="F9" s="29">
        <f>I9</f>
        <v>0</v>
      </c>
      <c r="G9" s="21" t="s">
        <v>25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6" x14ac:dyDescent="0.3">
      <c r="E10" s="30" t="s">
        <v>10</v>
      </c>
      <c r="F10" s="31">
        <f>VLOOKUP(E10,DATA!$C$17:$F$26,2,FALSE)</f>
        <v>2000</v>
      </c>
      <c r="G10" s="21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6" x14ac:dyDescent="0.3">
      <c r="E11" s="6" t="s">
        <v>13</v>
      </c>
      <c r="F11" s="7">
        <f>VLOOKUP(E11,DATA!$C$17:$F$26,2,FALSE)</f>
        <v>3000</v>
      </c>
      <c r="G11" s="39" t="s">
        <v>41</v>
      </c>
      <c r="H11" s="11"/>
      <c r="I11" s="11"/>
      <c r="J11" s="11"/>
      <c r="K11" s="11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6" x14ac:dyDescent="0.3"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6" ht="15" thickBot="1" x14ac:dyDescent="0.35"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6" x14ac:dyDescent="0.3">
      <c r="H14" s="16"/>
      <c r="I14" s="16"/>
      <c r="J14" s="16"/>
      <c r="K14" s="12"/>
      <c r="L14" s="13"/>
      <c r="M14" s="13"/>
      <c r="N14" s="13"/>
      <c r="O14" s="13"/>
      <c r="P14" s="13"/>
      <c r="Q14" s="14"/>
      <c r="R14" s="16"/>
      <c r="S14" s="16"/>
      <c r="T14" s="1"/>
      <c r="U14" s="1"/>
      <c r="V14" s="1"/>
      <c r="W14" s="1"/>
      <c r="X14" s="1"/>
      <c r="Y14" s="1"/>
      <c r="Z14" s="1"/>
    </row>
    <row r="15" spans="1:26" x14ac:dyDescent="0.3">
      <c r="H15" s="16"/>
      <c r="I15" s="16"/>
      <c r="J15" s="16"/>
      <c r="K15" s="15"/>
      <c r="L15" s="26" t="s">
        <v>0</v>
      </c>
      <c r="M15" s="32" t="s">
        <v>1</v>
      </c>
      <c r="N15" s="32" t="s">
        <v>2</v>
      </c>
      <c r="O15" s="32" t="s">
        <v>3</v>
      </c>
      <c r="P15" s="27" t="s">
        <v>4</v>
      </c>
      <c r="Q15" s="17"/>
      <c r="R15" s="16"/>
      <c r="S15" s="16"/>
    </row>
    <row r="16" spans="1:26" x14ac:dyDescent="0.3">
      <c r="A16" s="26" t="s">
        <v>0</v>
      </c>
      <c r="B16" s="32" t="s">
        <v>1</v>
      </c>
      <c r="C16" s="32" t="s">
        <v>2</v>
      </c>
      <c r="D16" s="32" t="s">
        <v>22</v>
      </c>
      <c r="E16" s="32" t="s">
        <v>3</v>
      </c>
      <c r="F16" s="32" t="s">
        <v>4</v>
      </c>
      <c r="G16" s="35" t="s">
        <v>26</v>
      </c>
      <c r="H16" s="23"/>
      <c r="I16" s="23"/>
      <c r="J16" s="16"/>
      <c r="K16" s="15"/>
      <c r="L16" s="28" t="s">
        <v>5</v>
      </c>
      <c r="M16" s="33" t="s">
        <v>6</v>
      </c>
      <c r="N16" s="33" t="s">
        <v>7</v>
      </c>
      <c r="O16" s="33">
        <v>12000</v>
      </c>
      <c r="P16" s="29">
        <v>5</v>
      </c>
      <c r="Q16" s="17"/>
      <c r="R16" s="16"/>
      <c r="S16" s="16"/>
      <c r="W16" s="2"/>
    </row>
    <row r="17" spans="1:24" x14ac:dyDescent="0.3">
      <c r="A17" s="28" t="s">
        <v>5</v>
      </c>
      <c r="B17" s="33" t="s">
        <v>6</v>
      </c>
      <c r="C17" s="33" t="s">
        <v>7</v>
      </c>
      <c r="D17" s="33">
        <f>E17/F17</f>
        <v>2400</v>
      </c>
      <c r="E17" s="33">
        <v>12000</v>
      </c>
      <c r="F17" s="33">
        <v>5</v>
      </c>
      <c r="G17" s="36" t="str">
        <f>IF(DATA!$E17&gt;=9000,"HIGH","LOW")</f>
        <v>HIGH</v>
      </c>
      <c r="H17" s="23"/>
      <c r="I17" s="23"/>
      <c r="J17" s="16"/>
      <c r="K17" s="15"/>
      <c r="L17" s="30" t="s">
        <v>8</v>
      </c>
      <c r="M17" s="34" t="s">
        <v>9</v>
      </c>
      <c r="N17" s="34" t="s">
        <v>10</v>
      </c>
      <c r="O17" s="34">
        <v>8000</v>
      </c>
      <c r="P17" s="31">
        <v>4</v>
      </c>
      <c r="Q17" s="17"/>
      <c r="R17" s="16"/>
      <c r="S17" s="16"/>
    </row>
    <row r="18" spans="1:24" x14ac:dyDescent="0.3">
      <c r="A18" s="30" t="s">
        <v>8</v>
      </c>
      <c r="B18" s="34" t="s">
        <v>9</v>
      </c>
      <c r="C18" s="34" t="s">
        <v>10</v>
      </c>
      <c r="D18" s="37">
        <f t="shared" ref="D18:D26" si="0">E18/F18</f>
        <v>2000</v>
      </c>
      <c r="E18" s="34">
        <v>8000</v>
      </c>
      <c r="F18" s="34">
        <v>4</v>
      </c>
      <c r="G18" s="38" t="str">
        <f>IF(DATA!$E18&gt;=9000,"HIGH","LOW")</f>
        <v>LOW</v>
      </c>
      <c r="H18" s="25" t="s">
        <v>29</v>
      </c>
      <c r="I18" s="25"/>
      <c r="J18" s="16"/>
      <c r="K18" s="15"/>
      <c r="L18" s="28" t="s">
        <v>11</v>
      </c>
      <c r="M18" s="33" t="s">
        <v>12</v>
      </c>
      <c r="N18" s="33" t="s">
        <v>13</v>
      </c>
      <c r="O18" s="33">
        <v>6000</v>
      </c>
      <c r="P18" s="29">
        <v>2</v>
      </c>
      <c r="Q18" s="17"/>
      <c r="R18" s="16"/>
      <c r="S18" s="16"/>
    </row>
    <row r="19" spans="1:24" x14ac:dyDescent="0.3">
      <c r="A19" s="28" t="s">
        <v>11</v>
      </c>
      <c r="B19" s="33" t="s">
        <v>12</v>
      </c>
      <c r="C19" s="33" t="s">
        <v>13</v>
      </c>
      <c r="D19" s="33">
        <f t="shared" si="0"/>
        <v>3000</v>
      </c>
      <c r="E19" s="33">
        <v>6000</v>
      </c>
      <c r="F19" s="33">
        <v>2</v>
      </c>
      <c r="G19" s="36" t="str">
        <f>IF(DATA!$E19&gt;=9000,"HIGH","LOW")</f>
        <v>LOW</v>
      </c>
      <c r="H19" s="25"/>
      <c r="I19" s="25"/>
      <c r="J19" s="16"/>
      <c r="K19" s="15"/>
      <c r="L19" s="30" t="s">
        <v>14</v>
      </c>
      <c r="M19" s="34" t="s">
        <v>15</v>
      </c>
      <c r="N19" s="34" t="s">
        <v>7</v>
      </c>
      <c r="O19" s="34">
        <v>15000</v>
      </c>
      <c r="P19" s="31">
        <v>6</v>
      </c>
      <c r="Q19" s="17"/>
      <c r="R19" s="16"/>
      <c r="S19" s="16"/>
    </row>
    <row r="20" spans="1:24" x14ac:dyDescent="0.3">
      <c r="A20" s="30" t="s">
        <v>14</v>
      </c>
      <c r="B20" s="34" t="s">
        <v>15</v>
      </c>
      <c r="C20" s="34" t="s">
        <v>7</v>
      </c>
      <c r="D20" s="34">
        <f t="shared" si="0"/>
        <v>2500</v>
      </c>
      <c r="E20" s="34">
        <v>15000</v>
      </c>
      <c r="F20" s="34">
        <v>6</v>
      </c>
      <c r="G20" s="38" t="str">
        <f>IF(DATA!$E20&gt;=9000,"HIGH","LOW")</f>
        <v>HIGH</v>
      </c>
      <c r="H20" s="25"/>
      <c r="I20" s="25"/>
      <c r="J20" s="16"/>
      <c r="K20" s="15"/>
      <c r="L20" s="28" t="s">
        <v>16</v>
      </c>
      <c r="M20" s="33" t="s">
        <v>6</v>
      </c>
      <c r="N20" s="33" t="s">
        <v>10</v>
      </c>
      <c r="O20" s="33">
        <v>7000</v>
      </c>
      <c r="P20" s="29">
        <v>2</v>
      </c>
      <c r="Q20" s="17"/>
      <c r="R20" s="16"/>
      <c r="S20" s="16"/>
    </row>
    <row r="21" spans="1:24" x14ac:dyDescent="0.3">
      <c r="A21" s="28" t="s">
        <v>16</v>
      </c>
      <c r="B21" s="33" t="s">
        <v>6</v>
      </c>
      <c r="C21" s="33" t="s">
        <v>10</v>
      </c>
      <c r="D21" s="33">
        <f t="shared" si="0"/>
        <v>3500</v>
      </c>
      <c r="E21" s="33">
        <v>7000</v>
      </c>
      <c r="F21" s="33">
        <v>2</v>
      </c>
      <c r="G21" s="36" t="str">
        <f>IF(DATA!$E21&gt;=9000,"HIGH","LOW")</f>
        <v>LOW</v>
      </c>
      <c r="H21" s="16"/>
      <c r="I21" s="16"/>
      <c r="J21" s="16"/>
      <c r="K21" s="15"/>
      <c r="L21" s="30" t="s">
        <v>17</v>
      </c>
      <c r="M21" s="34" t="s">
        <v>9</v>
      </c>
      <c r="N21" s="34" t="s">
        <v>13</v>
      </c>
      <c r="O21" s="34">
        <v>4000</v>
      </c>
      <c r="P21" s="31">
        <v>1</v>
      </c>
      <c r="Q21" s="17"/>
      <c r="R21" s="16"/>
      <c r="S21" s="16"/>
    </row>
    <row r="22" spans="1:24" x14ac:dyDescent="0.3">
      <c r="A22" s="30" t="s">
        <v>17</v>
      </c>
      <c r="B22" s="34" t="s">
        <v>9</v>
      </c>
      <c r="C22" s="34" t="s">
        <v>13</v>
      </c>
      <c r="D22" s="34">
        <f t="shared" si="0"/>
        <v>4000</v>
      </c>
      <c r="E22" s="34">
        <v>4000</v>
      </c>
      <c r="F22" s="34">
        <v>1</v>
      </c>
      <c r="G22" s="38" t="str">
        <f>IF(DATA!$E22&gt;=9000,"HIGH","LOW")</f>
        <v>LOW</v>
      </c>
      <c r="H22" s="16"/>
      <c r="I22" s="16"/>
      <c r="J22" s="16"/>
      <c r="K22" s="15"/>
      <c r="L22" s="28" t="s">
        <v>18</v>
      </c>
      <c r="M22" s="33" t="s">
        <v>12</v>
      </c>
      <c r="N22" s="33" t="s">
        <v>7</v>
      </c>
      <c r="O22" s="33">
        <v>11000</v>
      </c>
      <c r="P22" s="29">
        <v>4</v>
      </c>
      <c r="Q22" s="17"/>
      <c r="R22" s="16"/>
      <c r="S22" s="16"/>
    </row>
    <row r="23" spans="1:24" x14ac:dyDescent="0.3">
      <c r="A23" s="28" t="s">
        <v>18</v>
      </c>
      <c r="B23" s="33" t="s">
        <v>12</v>
      </c>
      <c r="C23" s="33" t="s">
        <v>7</v>
      </c>
      <c r="D23" s="33">
        <f t="shared" si="0"/>
        <v>2750</v>
      </c>
      <c r="E23" s="33">
        <v>11000</v>
      </c>
      <c r="F23" s="33">
        <v>4</v>
      </c>
      <c r="G23" s="36" t="str">
        <f>IF(DATA!$E23&gt;=9000,"HIGH","LOW")</f>
        <v>HIGH</v>
      </c>
      <c r="H23" s="16"/>
      <c r="I23" s="16"/>
      <c r="J23" s="16"/>
      <c r="K23" s="15"/>
      <c r="L23" s="30" t="s">
        <v>19</v>
      </c>
      <c r="M23" s="34" t="s">
        <v>15</v>
      </c>
      <c r="N23" s="34" t="s">
        <v>10</v>
      </c>
      <c r="O23" s="34">
        <v>9000</v>
      </c>
      <c r="P23" s="31">
        <v>3</v>
      </c>
      <c r="Q23" s="17"/>
      <c r="R23" s="16"/>
      <c r="S23" s="16"/>
    </row>
    <row r="24" spans="1:24" x14ac:dyDescent="0.3">
      <c r="A24" s="30" t="s">
        <v>19</v>
      </c>
      <c r="B24" s="34" t="s">
        <v>15</v>
      </c>
      <c r="C24" s="34" t="s">
        <v>10</v>
      </c>
      <c r="D24" s="34">
        <f t="shared" si="0"/>
        <v>3000</v>
      </c>
      <c r="E24" s="34">
        <v>9000</v>
      </c>
      <c r="F24" s="34">
        <v>3</v>
      </c>
      <c r="G24" s="38" t="str">
        <f>IF(DATA!$E24&gt;=9000,"HIGH","LOW")</f>
        <v>HIGH</v>
      </c>
      <c r="H24" s="16"/>
      <c r="I24" s="16"/>
      <c r="J24" s="16"/>
      <c r="K24" s="15"/>
      <c r="L24" s="28" t="s">
        <v>20</v>
      </c>
      <c r="M24" s="33" t="s">
        <v>6</v>
      </c>
      <c r="N24" s="33" t="s">
        <v>13</v>
      </c>
      <c r="O24" s="33">
        <v>5000</v>
      </c>
      <c r="P24" s="29">
        <v>2</v>
      </c>
      <c r="Q24" s="17"/>
      <c r="R24" s="16"/>
      <c r="S24" s="16"/>
    </row>
    <row r="25" spans="1:24" x14ac:dyDescent="0.3">
      <c r="A25" s="28" t="s">
        <v>20</v>
      </c>
      <c r="B25" s="33" t="s">
        <v>6</v>
      </c>
      <c r="C25" s="33" t="s">
        <v>13</v>
      </c>
      <c r="D25" s="33">
        <f t="shared" si="0"/>
        <v>2500</v>
      </c>
      <c r="E25" s="33">
        <v>5000</v>
      </c>
      <c r="F25" s="33">
        <v>2</v>
      </c>
      <c r="G25" s="36" t="str">
        <f>IF(DATA!$E25&gt;=9000,"HIGH","LOW")</f>
        <v>LOW</v>
      </c>
      <c r="H25" s="16"/>
      <c r="I25" s="16"/>
      <c r="J25" s="16"/>
      <c r="K25" s="15"/>
      <c r="L25" s="3" t="s">
        <v>21</v>
      </c>
      <c r="M25" s="4" t="s">
        <v>9</v>
      </c>
      <c r="N25" s="4" t="s">
        <v>7</v>
      </c>
      <c r="O25" s="4">
        <v>13000</v>
      </c>
      <c r="P25" s="5">
        <v>5</v>
      </c>
      <c r="Q25" s="17"/>
      <c r="R25" s="16"/>
      <c r="S25" s="16"/>
    </row>
    <row r="26" spans="1:24" ht="15" thickBot="1" x14ac:dyDescent="0.35">
      <c r="A26" s="30" t="s">
        <v>21</v>
      </c>
      <c r="B26" s="34" t="s">
        <v>9</v>
      </c>
      <c r="C26" s="34" t="s">
        <v>7</v>
      </c>
      <c r="D26" s="34">
        <f t="shared" si="0"/>
        <v>2600</v>
      </c>
      <c r="E26" s="34">
        <v>13000</v>
      </c>
      <c r="F26" s="34">
        <v>5</v>
      </c>
      <c r="G26" s="38" t="str">
        <f>IF(DATA!$E26&gt;=9000,"HIGH","LOW")</f>
        <v>HIGH</v>
      </c>
      <c r="H26" s="16"/>
      <c r="I26" s="16"/>
      <c r="J26" s="16"/>
      <c r="K26" s="18"/>
      <c r="L26" s="22"/>
      <c r="M26" s="19"/>
      <c r="N26" s="19"/>
      <c r="O26" s="22"/>
      <c r="P26" s="22"/>
      <c r="Q26" s="20"/>
      <c r="R26" s="16"/>
      <c r="S26" s="16"/>
      <c r="T26" s="1"/>
      <c r="W26" s="1"/>
      <c r="X26" s="1"/>
    </row>
    <row r="27" spans="1:24" ht="15" thickTop="1" x14ac:dyDescent="0.3">
      <c r="A27" s="10" t="s">
        <v>23</v>
      </c>
      <c r="B27" s="8"/>
      <c r="C27" s="8"/>
      <c r="D27" s="8">
        <f>SUBTOTAL(109,DATA!$D$17:$D$26)</f>
        <v>28250</v>
      </c>
      <c r="E27" s="8">
        <f>SUBTOTAL(109,DATA!$E$17:$E$26)</f>
        <v>90000</v>
      </c>
      <c r="F27" s="8">
        <f>SUBTOTAL(109,DATA!$F$17:$F$26)</f>
        <v>34</v>
      </c>
      <c r="G27" s="9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4" x14ac:dyDescent="0.3">
      <c r="A28" s="1" t="s">
        <v>24</v>
      </c>
      <c r="D28" s="1">
        <f>AVERAGE(DATA!$D$17:$D$26)</f>
        <v>2825</v>
      </c>
      <c r="E28" s="1">
        <f>AVERAGE(DATA!$E$17:$E$26)</f>
        <v>9000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4" x14ac:dyDescent="0.3"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4" x14ac:dyDescent="0.3">
      <c r="B30" s="11" t="s">
        <v>42</v>
      </c>
      <c r="C30" s="11"/>
      <c r="D30" s="11"/>
      <c r="E30" s="11"/>
      <c r="F30" s="11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4" x14ac:dyDescent="0.3">
      <c r="B31" s="11" t="s">
        <v>43</v>
      </c>
      <c r="C31" s="11"/>
      <c r="D31" s="11"/>
      <c r="E31" s="11"/>
      <c r="F31" s="11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4" x14ac:dyDescent="0.3">
      <c r="B32" s="11" t="s">
        <v>44</v>
      </c>
      <c r="C32" s="11"/>
      <c r="D32" s="11"/>
      <c r="E32" s="11"/>
      <c r="F32" s="11"/>
      <c r="H32" s="25" t="s">
        <v>30</v>
      </c>
      <c r="I32" s="25"/>
      <c r="K32" s="25" t="s">
        <v>33</v>
      </c>
      <c r="L32" s="25"/>
      <c r="M32" s="16"/>
      <c r="N32" s="25" t="s">
        <v>40</v>
      </c>
      <c r="O32" s="25"/>
      <c r="P32" s="25"/>
      <c r="Q32" s="16"/>
      <c r="R32" s="16"/>
      <c r="S32" s="16"/>
      <c r="T32" s="16"/>
      <c r="U32" s="16"/>
    </row>
    <row r="33" spans="2:21" x14ac:dyDescent="0.3">
      <c r="B33" s="24"/>
      <c r="C33" s="24"/>
      <c r="D33" s="24"/>
      <c r="E33" s="24"/>
      <c r="F33" s="24"/>
      <c r="H33" s="25"/>
      <c r="I33" s="25"/>
      <c r="K33" s="25"/>
      <c r="L33" s="25"/>
      <c r="M33" s="16"/>
      <c r="P33" s="16"/>
      <c r="Q33" s="16"/>
      <c r="R33" s="16"/>
      <c r="S33" s="16"/>
      <c r="T33" s="16"/>
      <c r="U33" s="16"/>
    </row>
    <row r="34" spans="2:21" x14ac:dyDescent="0.3">
      <c r="H34" s="26" t="s">
        <v>27</v>
      </c>
      <c r="I34" s="27" t="s">
        <v>28</v>
      </c>
      <c r="J34" s="16"/>
      <c r="K34" s="26" t="s">
        <v>26</v>
      </c>
      <c r="L34" s="27" t="s">
        <v>36</v>
      </c>
      <c r="M34" s="16"/>
      <c r="N34" s="26" t="s">
        <v>37</v>
      </c>
      <c r="O34" s="32" t="s">
        <v>38</v>
      </c>
      <c r="P34" s="27" t="s">
        <v>39</v>
      </c>
      <c r="Q34" s="16"/>
      <c r="R34" s="16"/>
      <c r="S34" s="16"/>
      <c r="T34" s="16"/>
      <c r="U34" s="16"/>
    </row>
    <row r="35" spans="2:21" x14ac:dyDescent="0.3">
      <c r="G35">
        <v>51000</v>
      </c>
      <c r="H35" s="28" t="s">
        <v>7</v>
      </c>
      <c r="I35" s="29">
        <f ca="1">SUMIF(DATA!$C$17:$E$26,C17,DATA!$E$17:$E$26)</f>
        <v>51000</v>
      </c>
      <c r="J35" s="16"/>
      <c r="K35" s="28" t="s">
        <v>31</v>
      </c>
      <c r="L35" s="29">
        <f>COUNTIF(DATA!$G$17:$G$26,G17)</f>
        <v>5</v>
      </c>
      <c r="M35" s="16"/>
      <c r="N35" s="28" t="s">
        <v>34</v>
      </c>
      <c r="O35" s="33">
        <f ca="1">MIN(DATA!$I$35:$I$37)</f>
        <v>15000</v>
      </c>
      <c r="P35" s="29" t="str">
        <f ca="1">_xlfn.XLOOKUP(O35,$G$35:$G$37,DATA!$H$35:$H$37)</f>
        <v>Oil</v>
      </c>
      <c r="Q35" s="16"/>
      <c r="R35" s="16"/>
      <c r="S35" s="16"/>
      <c r="T35" s="16"/>
      <c r="U35" s="16"/>
    </row>
    <row r="36" spans="2:21" x14ac:dyDescent="0.3">
      <c r="G36">
        <v>24000</v>
      </c>
      <c r="H36" s="30" t="s">
        <v>10</v>
      </c>
      <c r="I36" s="31">
        <f ca="1">SUMIF(DATA!$C$17:$E$26,C18,DATA!$E$17:$E$26)</f>
        <v>24000</v>
      </c>
      <c r="K36" s="3" t="s">
        <v>32</v>
      </c>
      <c r="L36" s="5">
        <f>COUNTIF(DATA!$G$17:$G$26,G18)</f>
        <v>5</v>
      </c>
      <c r="N36" s="3" t="s">
        <v>35</v>
      </c>
      <c r="O36" s="4">
        <f ca="1">MAX(DATA!$I$35:$I$37)</f>
        <v>51000</v>
      </c>
      <c r="P36" s="5" t="str" cm="1">
        <f t="array" aca="1" ref="P36" ca="1">_xlfn.XLOOKUP(O36,$G$35:$G$37,DATA!$H$35:$H$37)</f>
        <v>Tyre</v>
      </c>
    </row>
    <row r="37" spans="2:21" x14ac:dyDescent="0.3">
      <c r="G37">
        <v>15000</v>
      </c>
      <c r="H37" s="6" t="s">
        <v>13</v>
      </c>
      <c r="I37" s="7">
        <f ca="1">SUMIF(DATA!$C$17:$E$26,C19,DATA!$E$17:$E$26)</f>
        <v>15000</v>
      </c>
    </row>
    <row r="38" spans="2:21" x14ac:dyDescent="0.3">
      <c r="N38" s="11" t="s">
        <v>47</v>
      </c>
      <c r="O38" s="11"/>
      <c r="P38" s="11"/>
    </row>
    <row r="39" spans="2:21" x14ac:dyDescent="0.3">
      <c r="G39" s="11" t="s">
        <v>45</v>
      </c>
      <c r="H39" s="11"/>
      <c r="I39" s="11"/>
      <c r="J39" s="11"/>
      <c r="K39" s="11" t="s">
        <v>46</v>
      </c>
      <c r="L39" s="11"/>
      <c r="N39" s="11" t="s">
        <v>48</v>
      </c>
      <c r="O39" s="11"/>
      <c r="P39" s="11"/>
    </row>
    <row r="40" spans="2:21" x14ac:dyDescent="0.3">
      <c r="N40" s="11" t="s">
        <v>49</v>
      </c>
      <c r="O40" s="11"/>
      <c r="P40" s="11"/>
    </row>
  </sheetData>
  <mergeCells count="13">
    <mergeCell ref="G11:K11"/>
    <mergeCell ref="B30:F30"/>
    <mergeCell ref="B31:F31"/>
    <mergeCell ref="B32:F32"/>
    <mergeCell ref="G39:J39"/>
    <mergeCell ref="K39:L39"/>
    <mergeCell ref="N38:P38"/>
    <mergeCell ref="K32:L33"/>
    <mergeCell ref="N32:P32"/>
    <mergeCell ref="N39:P39"/>
    <mergeCell ref="N40:P40"/>
    <mergeCell ref="H18:I20"/>
    <mergeCell ref="H32:I33"/>
  </mergeCells>
  <conditionalFormatting sqref="Z15:Z24">
    <cfRule type="expression" dxfId="0" priority="1">
      <formula>$Z$15=HIGH</formula>
    </cfRule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F34A03-AFF9-4F2F-9163-3592EC7FAE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M</dc:creator>
  <cp:lastModifiedBy>Jahnavi M</cp:lastModifiedBy>
  <dcterms:created xsi:type="dcterms:W3CDTF">2026-04-22T15:31:00Z</dcterms:created>
  <dcterms:modified xsi:type="dcterms:W3CDTF">2026-04-22T17:09:58Z</dcterms:modified>
</cp:coreProperties>
</file>